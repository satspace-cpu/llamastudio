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3b346407c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се замеры" sheetId="1" r:id="Rb730841acea94e9d"/>
    <x:sheet xmlns:r="http://schemas.openxmlformats.org/officeDocument/2006/relationships" name="Сравнение" sheetId="2" r:id="Rd8cfb4fa24f4477d"/>
    <x:sheet xmlns:r="http://schemas.openxmlformats.org/officeDocument/2006/relationships" name="Отчёт" sheetId="3" r:id="R633adcebfeaa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8">
    <x:font>
      <x:sz val="11"/>
      <x:name val="Carlito"/>
    </x:font>
    <x:font>
      <x:sz val="11"/>
      <x:color rgb="FF5C4700"/>
      <x:name val="Carlito"/>
    </x:font>
    <x:font>
      <x:b/>
      <x:sz val="16"/>
      <x:color rgb="FFFFFFFF"/>
      <x:name val="Aptos Display"/>
    </x:font>
    <x:font>
      <x:b/>
      <x:sz val="11"/>
      <x:color rgb="FF17324D"/>
      <x:name val="Aptos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24D"/>
      <x:name val="Aptos"/>
    </x:font>
    <x:font>
      <x:sz val="10"/>
      <x:color rgb="FF5C470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791f648664304" /><Relationship Type="http://schemas.openxmlformats.org/officeDocument/2006/relationships/theme" Target="/xl/theme/theme1.xml" Id="R843d548c29964961" /><Relationship Type="http://schemas.openxmlformats.org/officeDocument/2006/relationships/sharedStrings" Target="/xl/sharedStrings.xml" Id="R240df565a10d463e" /><Relationship Type="http://schemas.openxmlformats.org/officeDocument/2006/relationships/worksheet" Target="/xl/worksheets/sheet1.xml" Id="Rb730841acea94e9d" /><Relationship Type="http://schemas.openxmlformats.org/officeDocument/2006/relationships/worksheet" Target="/xl/worksheets/sheet2.xml" Id="Rd8cfb4fa24f4477d" /><Relationship Type="http://schemas.openxmlformats.org/officeDocument/2006/relationships/worksheet" Target="/xl/worksheets/sheet3.xml" Id="R633adcebfeaa4a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cdd42b628f4aa7" /><Relationship Type="http://schemas.openxmlformats.org/officeDocument/2006/relationships/chart" Target="/xl/drawings/charts/chart2.xml" Id="Rc282046e79844f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Обработка входа, ток/с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Локально</c:v>
          </c:tx>
          <c:cat>
            <c:strRef>
              <c:f>'Отчёт'!$A$9:$A$13</c:f>
              <c:strCache>
                <c:ptCount val="0"/>
              </c:strCache>
            </c:strRef>
          </c:cat>
          <c:val>
            <c:numRef>
              <c:f>'Отчёт'!$B$9:$B$13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RPC 25 Гбит/с</c:v>
          </c:tx>
          <c:cat>
            <c:strRef>
              <c:f>'Отчёт'!$A$9:$A$13</c:f>
              <c:strCache>
                <c:ptCount val="0"/>
              </c:strCache>
            </c:strRef>
          </c:cat>
          <c:val>
            <c:numRef>
              <c:f>'Отчёт'!$C$9:$C$13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Генерация, ток/с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Локально</c:v>
          </c:tx>
          <c:cat>
            <c:strRef>
              <c:f>'Отчёт'!$A$18:$A$22</c:f>
              <c:strCache>
                <c:ptCount val="0"/>
              </c:strCache>
            </c:strRef>
          </c:cat>
          <c:val>
            <c:numRef>
              <c:f>'Отчёт'!$B$18:$B$22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RPC 25 Гбит/с</c:v>
          </c:tx>
          <c:cat>
            <c:strRef>
              <c:f>'Отчёт'!$A$18:$A$22</c:f>
              <c:strCache>
                <c:ptCount val="0"/>
              </c:strCache>
            </c:strRef>
          </c:cat>
          <c:val>
            <c:numRef>
              <c:f>'Отчёт'!$C$18:$C$22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cdd42b628f4aa7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82046e79844f4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lTests" displayName="AllTests" ref="A3:N23" headerRowCount="1" totalsRowCount="0" totalsRowShown="0">
  <x:tableColumns count="14">
    <x:tableColumn id="1" name="Режим"/>
    <x:tableColumn id="2" name="Сеть"/>
    <x:tableColumn id="3" name="Модель"/>
    <x:tableColumn id="4" name="MTP"/>
    <x:tableColumn id="5" name="Контекст"/>
    <x:tableColumn id="6" name="Распределение GPU"/>
    <x:tableColumn id="7" name="Источник"/>
    <x:tableColumn id="8" name="Замер"/>
    <x:tableColumn id="9" name="Токены входа"/>
    <x:tableColumn id="10" name="Вход, ток/с"/>
    <x:tableColumn id="11" name="Токены генерации"/>
    <x:tableColumn id="12" name="Генерация, ток/с"/>
    <x:tableColumn id="13" name="Принятие draft"/>
    <x:tableColumn id="14" name="Средняя длина draf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rison" displayName="Comparison" ref="A3:L9" headerRowCount="1" totalsRowCount="0" totalsRowShown="0">
  <x:tableColumns count="12">
    <x:tableColumn id="1" name="Профиль"/>
    <x:tableColumn id="2" name="Локальный источник"/>
    <x:tableColumn id="3" name="RPC-источник"/>
    <x:tableColumn id="4" name="Локально: вход"/>
    <x:tableColumn id="5" name="RPC: вход"/>
    <x:tableColumn id="6" name="Изменение входа"/>
    <x:tableColumn id="7" name="Локально: генерация"/>
    <x:tableColumn id="8" name="RPC: генерация"/>
    <x:tableColumn id="9" name="Изменение генерации"/>
    <x:tableColumn id="10" name="Локально: draft"/>
    <x:tableColumn id="11" name="RPC: draft"/>
    <x:tableColumn id="12" name="Изменение draf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186f7686be47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d99fc6f1134b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4d86f591f6c43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6.25" hidden="0" customWidth="1"/>
    <x:col min="5" max="5" width="10.130000114440918" hidden="0" customWidth="1"/>
    <x:col min="6" max="6" width="19.25" hidden="0" customWidth="1"/>
    <x:col min="7" max="7" width="42" hidden="0" customWidth="1"/>
    <x:col min="8" max="8" width="8" hidden="0" customWidth="1"/>
    <x:col min="9" max="9" width="13.630000114440918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15" t="str">
        <x:v>Локальные и RPC-замеры через сеть 25 Гбит/с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</x:row>
    <x:row r="3" ht="42" customHeight="1">
      <x:c r="A3" s="17" t="str">
        <x:v>Режим</x:v>
      </x:c>
      <x:c r="B3" s="17" t="str">
        <x:v>Сеть</x:v>
      </x:c>
      <x:c r="C3" s="17" t="str">
        <x:v>Модель</x:v>
      </x:c>
      <x:c r="D3" s="17" t="str">
        <x:v>MTP</x:v>
      </x:c>
      <x:c r="E3" s="17" t="str">
        <x:v>Контекст</x:v>
      </x:c>
      <x:c r="F3" s="17" t="str">
        <x:v>Распределение GPU</x:v>
      </x:c>
      <x:c r="G3" s="17" t="str">
        <x:v>Источник</x:v>
      </x:c>
      <x:c r="H3" s="17" t="str">
        <x:v>Замер</x:v>
      </x:c>
      <x:c r="I3" s="17" t="str">
        <x:v>Токены входа</x:v>
      </x:c>
      <x:c r="J3" s="17" t="str">
        <x:v>Вход, ток/с</x:v>
      </x:c>
      <x:c r="K3" s="17" t="str">
        <x:v>Токены генерации</x:v>
      </x:c>
      <x:c r="L3" s="17" t="str">
        <x:v>Генерация, ток/с</x:v>
      </x:c>
      <x:c r="M3" s="17" t="str">
        <x:v>Принятие draft</x:v>
      </x:c>
      <x:c r="N3" s="17" t="str">
        <x:v>Средняя длина draft</x:v>
      </x:c>
    </x:row>
    <x:row r="4">
      <x:c r="A4" s="16" t="str">
        <x:v>Локально</x:v>
      </x:c>
      <x:c r="B4" s="16" t="str">
        <x:v>—</x:v>
      </x:c>
      <x:c r="C4" s="16" t="str">
        <x:v>Muse-Glimmer-30B-UD-Q8_K_XL</x:v>
      </x:c>
      <x:c r="D4" s="16" t="n">
        <x:v>5</x:v>
      </x:c>
      <x:c r="E4" s="16" t="n">
        <x:v>150</x:v>
      </x:c>
      <x:c r="F4" s="16" t="str">
        <x:v>78/22</x:v>
      </x:c>
      <x:c r="G4" s="16" t="str">
        <x:v>Muse4-100.txt</x:v>
      </x:c>
      <x:c r="H4" s="16" t="n">
        <x:v>1</x:v>
      </x:c>
      <x:c r="I4" s="16" t="n">
        <x:v>15312</x:v>
      </x:c>
      <x:c r="J4" s="18" t="n">
        <x:v>2136.32</x:v>
      </x:c>
      <x:c r="K4" s="16" t="n">
        <x:v>1258</x:v>
      </x:c>
      <x:c r="L4" s="18" t="n">
        <x:v>97.98</x:v>
      </x:c>
      <x:c r="M4" s="19" t="n">
        <x:v>0.79056</x:v>
      </x:c>
      <x:c r="N4" s="18" t="n">
        <x:v>4.16</x:v>
      </x:c>
    </x:row>
    <x:row r="5">
      <x:c r="A5" s="16" t="str">
        <x:v>Локально</x:v>
      </x:c>
      <x:c r="B5" s="16" t="str">
        <x:v>—</x:v>
      </x:c>
      <x:c r="C5" s="16" t="str">
        <x:v>Muse-Glimmer-30B-UD-Q8_K_XL</x:v>
      </x:c>
      <x:c r="D5" s="16" t="n">
        <x:v>5</x:v>
      </x:c>
      <x:c r="E5" s="16" t="n">
        <x:v>150</x:v>
      </x:c>
      <x:c r="F5" s="16" t="str">
        <x:v>78/22</x:v>
      </x:c>
      <x:c r="G5" s="16" t="str">
        <x:v>Muse4-100.txt</x:v>
      </x:c>
      <x:c r="H5" s="16" t="n">
        <x:v>2</x:v>
      </x:c>
      <x:c r="I5" s="16" t="n">
        <x:v>15312</x:v>
      </x:c>
      <x:c r="J5" s="18" t="n">
        <x:v>2220.9</x:v>
      </x:c>
      <x:c r="K5" s="16" t="n">
        <x:v>1536</x:v>
      </x:c>
      <x:c r="L5" s="18" t="n">
        <x:v>77.37</x:v>
      </x:c>
      <x:c r="M5" s="19" t="n">
        <x:v>0.5631</x:v>
      </x:c>
      <x:c r="N5" s="18" t="n">
        <x:v>3.25</x:v>
      </x:c>
    </x:row>
    <x:row r="6">
      <x:c r="A6" s="16" t="str">
        <x:v>Локально</x:v>
      </x:c>
      <x:c r="B6" s="16" t="str">
        <x:v>—</x:v>
      </x:c>
      <x:c r="C6" s="16" t="str">
        <x:v>Qwen3.6-27B-UD-Q8_K_XL</x:v>
      </x:c>
      <x:c r="D6" s="16" t="n">
        <x:v>5</x:v>
      </x:c>
      <x:c r="E6" s="16" t="n">
        <x:v>150</x:v>
      </x:c>
      <x:c r="F6" s="16" t="str">
        <x:v>65/35</x:v>
      </x:c>
      <x:c r="G6" s="16" t="str">
        <x:v>Квин Q8.txt</x:v>
      </x:c>
      <x:c r="H6" s="16" t="n">
        <x:v>1</x:v>
      </x:c>
      <x:c r="I6" s="16" t="n">
        <x:v>17112</x:v>
      </x:c>
      <x:c r="J6" s="18" t="n">
        <x:v>1498.76</x:v>
      </x:c>
      <x:c r="K6" s="16" t="n">
        <x:v>1536</x:v>
      </x:c>
      <x:c r="L6" s="18" t="n">
        <x:v>77.44</x:v>
      </x:c>
      <x:c r="M6" s="19" t="n">
        <x:v>0.76334</x:v>
      </x:c>
      <x:c r="N6" s="18" t="n">
        <x:v>4.81</x:v>
      </x:c>
    </x:row>
    <x:row r="7">
      <x:c r="A7" s="16" t="str">
        <x:v>Локально</x:v>
      </x:c>
      <x:c r="B7" s="16" t="str">
        <x:v>—</x:v>
      </x:c>
      <x:c r="C7" s="16" t="str">
        <x:v>Qwen3.6-27B-UD-Q8_K_XL</x:v>
      </x:c>
      <x:c r="D7" s="16" t="n">
        <x:v>5</x:v>
      </x:c>
      <x:c r="E7" s="16" t="n">
        <x:v>150</x:v>
      </x:c>
      <x:c r="F7" s="16" t="str">
        <x:v>65/35</x:v>
      </x:c>
      <x:c r="G7" s="16" t="str">
        <x:v>Квин Q8.txt</x:v>
      </x:c>
      <x:c r="H7" s="16" t="n">
        <x:v>2</x:v>
      </x:c>
      <x:c r="I7" s="16" t="n">
        <x:v>17112</x:v>
      </x:c>
      <x:c r="J7" s="18" t="n">
        <x:v>2000.24</x:v>
      </x:c>
      <x:c r="K7" s="16" t="n">
        <x:v>1536</x:v>
      </x:c>
      <x:c r="L7" s="18" t="n">
        <x:v>74.69</x:v>
      </x:c>
      <x:c r="M7" s="19" t="n">
        <x:v>0.72881</x:v>
      </x:c>
      <x:c r="N7" s="18" t="n">
        <x:v>4.64</x:v>
      </x:c>
    </x:row>
    <x:row r="8">
      <x:c r="A8" s="16" t="str">
        <x:v>Локально</x:v>
      </x:c>
      <x:c r="B8" s="16" t="str">
        <x:v>—</x:v>
      </x:c>
      <x:c r="C8" s="16" t="str">
        <x:v>ThinkingCap-Qwen3.6-27B-Q8_0-MTP</x:v>
      </x:c>
      <x:c r="D8" s="16" t="n">
        <x:v>5</x:v>
      </x:c>
      <x:c r="E8" s="16" t="n">
        <x:v>150</x:v>
      </x:c>
      <x:c r="F8" s="16" t="str">
        <x:v>65/35</x:v>
      </x:c>
      <x:c r="G8" s="16" t="str">
        <x:v>Танкингq8.txt</x:v>
      </x:c>
      <x:c r="H8" s="16" t="n">
        <x:v>1</x:v>
      </x:c>
      <x:c r="I8" s="16" t="n">
        <x:v>17112</x:v>
      </x:c>
      <x:c r="J8" s="18" t="n">
        <x:v>1922.54</x:v>
      </x:c>
      <x:c r="K8" s="16" t="n">
        <x:v>1536</x:v>
      </x:c>
      <x:c r="L8" s="18" t="n">
        <x:v>93.03</x:v>
      </x:c>
      <x:c r="M8" s="19" t="n">
        <x:v>0.7114</x:v>
      </x:c>
      <x:c r="N8" s="18" t="n">
        <x:v>4.55</x:v>
      </x:c>
    </x:row>
    <x:row r="9">
      <x:c r="A9" s="16" t="str">
        <x:v>Локально</x:v>
      </x:c>
      <x:c r="B9" s="16" t="str">
        <x:v>—</x:v>
      </x:c>
      <x:c r="C9" s="16" t="str">
        <x:v>ThinkingCap-Qwen3.6-27B-Q8_0-MTP</x:v>
      </x:c>
      <x:c r="D9" s="16" t="n">
        <x:v>5</x:v>
      </x:c>
      <x:c r="E9" s="16" t="n">
        <x:v>150</x:v>
      </x:c>
      <x:c r="F9" s="16" t="str">
        <x:v>65/35</x:v>
      </x:c>
      <x:c r="G9" s="16" t="str">
        <x:v>Танкингq8.txt</x:v>
      </x:c>
      <x:c r="H9" s="16" t="n">
        <x:v>2</x:v>
      </x:c>
      <x:c r="I9" s="16" t="n">
        <x:v>17112</x:v>
      </x:c>
      <x:c r="J9" s="18" t="n">
        <x:v>1915.22</x:v>
      </x:c>
      <x:c r="K9" s="16" t="n">
        <x:v>1536</x:v>
      </x:c>
      <x:c r="L9" s="18" t="n">
        <x:v>85.41</x:v>
      </x:c>
      <x:c r="M9" s="19" t="n">
        <x:v>0.63721</x:v>
      </x:c>
      <x:c r="N9" s="18" t="n">
        <x:v>4.18</x:v>
      </x:c>
    </x:row>
    <x:row r="10">
      <x:c r="A10" s="16" t="str">
        <x:v>Локально</x:v>
      </x:c>
      <x:c r="B10" s="16" t="str">
        <x:v>—</x:v>
      </x:c>
      <x:c r="C10" s="16" t="str">
        <x:v>Muse-Glimmer-30B-UD-Q8_K_XL</x:v>
      </x:c>
      <x:c r="D10" s="16" t="n">
        <x:v>5</x:v>
      </x:c>
      <x:c r="E10" s="16" t="n">
        <x:v>150</x:v>
      </x:c>
      <x:c r="F10" s="16" t="str">
        <x:v>78/22</x:v>
      </x:c>
      <x:c r="G10" s="16" t="str">
        <x:v>Muse5-70.txt</x:v>
      </x:c>
      <x:c r="H10" s="16" t="n">
        <x:v>1</x:v>
      </x:c>
      <x:c r="I10" s="16" t="n">
        <x:v>15312</x:v>
      </x:c>
      <x:c r="J10" s="18" t="n">
        <x:v>2023.16</x:v>
      </x:c>
      <x:c r="K10" s="16" t="n">
        <x:v>1536</x:v>
      </x:c>
      <x:c r="L10" s="18" t="n">
        <x:v>65.71</x:v>
      </x:c>
      <x:c r="M10" s="19" t="n">
        <x:v>0.42375</x:v>
      </x:c>
      <x:c r="N10" s="18" t="n">
        <x:v>3.11</x:v>
      </x:c>
    </x:row>
    <x:row r="11">
      <x:c r="A11" s="16" t="str">
        <x:v>Локально</x:v>
      </x:c>
      <x:c r="B11" s="16" t="str">
        <x:v>—</x:v>
      </x:c>
      <x:c r="C11" s="16" t="str">
        <x:v>Muse-Glimmer-30B-UD-Q8_K_XL</x:v>
      </x:c>
      <x:c r="D11" s="16" t="n">
        <x:v>5</x:v>
      </x:c>
      <x:c r="E11" s="16" t="n">
        <x:v>150</x:v>
      </x:c>
      <x:c r="F11" s="16" t="str">
        <x:v>78/22</x:v>
      </x:c>
      <x:c r="G11" s="16" t="str">
        <x:v>Muse5-70.txt</x:v>
      </x:c>
      <x:c r="H11" s="16" t="n">
        <x:v>2</x:v>
      </x:c>
      <x:c r="I11" s="16" t="n">
        <x:v>15312</x:v>
      </x:c>
      <x:c r="J11" s="18" t="n">
        <x:v>2160.08</x:v>
      </x:c>
      <x:c r="K11" s="16" t="n">
        <x:v>1536</x:v>
      </x:c>
      <x:c r="L11" s="18" t="n">
        <x:v>65.63</x:v>
      </x:c>
      <x:c r="M11" s="19" t="n">
        <x:v>0.41855</x:v>
      </x:c>
      <x:c r="N11" s="18" t="n">
        <x:v>3.09</x:v>
      </x:c>
    </x:row>
    <x:row r="12">
      <x:c r="A12" s="16" t="str">
        <x:v>Локально</x:v>
      </x:c>
      <x:c r="B12" s="16" t="str">
        <x:v>—</x:v>
      </x:c>
      <x:c r="C12" s="16" t="str">
        <x:v>Muse-Glimmer-30B-UD-Q8_K_XL</x:v>
      </x:c>
      <x:c r="D12" s="16" t="n">
        <x:v>3</x:v>
      </x:c>
      <x:c r="E12" s="16" t="n">
        <x:v>150</x:v>
      </x:c>
      <x:c r="F12" s="16" t="str">
        <x:v>78/22</x:v>
      </x:c>
      <x:c r="G12" s="16" t="str">
        <x:v>Muse3-55.txt</x:v>
      </x:c>
      <x:c r="H12" s="16" t="n">
        <x:v>1</x:v>
      </x:c>
      <x:c r="I12" s="16" t="n">
        <x:v>15312</x:v>
      </x:c>
      <x:c r="J12" s="18" t="n">
        <x:v>2088.46</x:v>
      </x:c>
      <x:c r="K12" s="16" t="n">
        <x:v>1536</x:v>
      </x:c>
      <x:c r="L12" s="18" t="n">
        <x:v>86.81</x:v>
      </x:c>
      <x:c r="M12" s="19" t="n">
        <x:v>0.81709</x:v>
      </x:c>
      <x:c r="N12" s="18" t="n">
        <x:v>3.45</x:v>
      </x:c>
    </x:row>
    <x:row r="13">
      <x:c r="A13" s="16" t="str">
        <x:v>Локально</x:v>
      </x:c>
      <x:c r="B13" s="16" t="str">
        <x:v>—</x:v>
      </x:c>
      <x:c r="C13" s="16" t="str">
        <x:v>Muse-Glimmer-30B-UD-Q8_K_XL</x:v>
      </x:c>
      <x:c r="D13" s="16" t="n">
        <x:v>3</x:v>
      </x:c>
      <x:c r="E13" s="16" t="n">
        <x:v>150</x:v>
      </x:c>
      <x:c r="F13" s="16" t="str">
        <x:v>78/22</x:v>
      </x:c>
      <x:c r="G13" s="16" t="str">
        <x:v>Muse3-55.txt</x:v>
      </x:c>
      <x:c r="H13" s="16" t="n">
        <x:v>2</x:v>
      </x:c>
      <x:c r="I13" s="16" t="n">
        <x:v>15312</x:v>
      </x:c>
      <x:c r="J13" s="18" t="n">
        <x:v>2187.4</x:v>
      </x:c>
      <x:c r="K13" s="16" t="n">
        <x:v>1536</x:v>
      </x:c>
      <x:c r="L13" s="18" t="n">
        <x:v>78.04</x:v>
      </x:c>
      <x:c r="M13" s="19" t="n">
        <x:v>0.6939</x:v>
      </x:c>
      <x:c r="N13" s="18" t="n">
        <x:v>3.08</x:v>
      </x:c>
    </x:row>
    <x:row r="14">
      <x:c r="A14" s="16" t="str">
        <x:v>RPC</x:v>
      </x:c>
      <x:c r="B14" s="16" t="str">
        <x:v>25 Гбит/с</x:v>
      </x:c>
      <x:c r="C14" s="16" t="str">
        <x:v>ThinkingCap-Qwen3.6-27B-Q8_0-MTP</x:v>
      </x:c>
      <x:c r="D14" s="16" t="n">
        <x:v>5</x:v>
      </x:c>
      <x:c r="E14" s="16" t="n">
        <x:v>150</x:v>
      </x:c>
      <x:c r="F14" s="16" t="str">
        <x:v>65/35</x:v>
      </x:c>
      <x:c r="G14" s="16" t="str">
        <x:v>ThinkingCap-Qwen3.6-27B-Q8_0-MTP_25gb, F.txt</x:v>
      </x:c>
      <x:c r="H14" s="16" t="n">
        <x:v>1</x:v>
      </x:c>
      <x:c r="I14" s="16" t="n">
        <x:v>17112</x:v>
      </x:c>
      <x:c r="J14" s="18" t="n">
        <x:v>668.6</x:v>
      </x:c>
      <x:c r="K14" s="16" t="n">
        <x:v>1536</x:v>
      </x:c>
      <x:c r="L14" s="18" t="n">
        <x:v>77.2</x:v>
      </x:c>
      <x:c r="M14" s="19" t="n">
        <x:v>0.78283</x:v>
      </x:c>
      <x:c r="N14" s="18" t="n">
        <x:v>4.9</x:v>
      </x:c>
    </x:row>
    <x:row r="15">
      <x:c r="A15" s="16" t="str">
        <x:v>RPC</x:v>
      </x:c>
      <x:c r="B15" s="16" t="str">
        <x:v>25 Гбит/с</x:v>
      </x:c>
      <x:c r="C15" s="16" t="str">
        <x:v>ThinkingCap-Qwen3.6-27B-Q8_0-MTP</x:v>
      </x:c>
      <x:c r="D15" s="16" t="n">
        <x:v>5</x:v>
      </x:c>
      <x:c r="E15" s="16" t="n">
        <x:v>150</x:v>
      </x:c>
      <x:c r="F15" s="16" t="str">
        <x:v>65/35</x:v>
      </x:c>
      <x:c r="G15" s="16" t="str">
        <x:v>ThinkingCap-Qwen3.6-27B-Q8_0-MTP_25gb, F.txt</x:v>
      </x:c>
      <x:c r="H15" s="16" t="n">
        <x:v>2</x:v>
      </x:c>
      <x:c r="I15" s="16" t="n">
        <x:v>17112</x:v>
      </x:c>
      <x:c r="J15" s="18" t="n">
        <x:v>1179.79</x:v>
      </x:c>
      <x:c r="K15" s="16" t="n">
        <x:v>1536</x:v>
      </x:c>
      <x:c r="L15" s="18" t="n">
        <x:v>59.94</x:v>
      </x:c>
      <x:c r="M15" s="19" t="n">
        <x:v>0.76782</x:v>
      </x:c>
      <x:c r="N15" s="18" t="n">
        <x:v>4.84</x:v>
      </x:c>
    </x:row>
    <x:row r="16">
      <x:c r="A16" s="16" t="str">
        <x:v>RPC</x:v>
      </x:c>
      <x:c r="B16" s="16" t="str">
        <x:v>25 Гбит/с</x:v>
      </x:c>
      <x:c r="C16" s="16" t="str">
        <x:v>Qwen3.6-27B-UD-Q8_K_XL</x:v>
      </x:c>
      <x:c r="D16" s="16" t="n">
        <x:v>5</x:v>
      </x:c>
      <x:c r="E16" s="16" t="n">
        <x:v>150</x:v>
      </x:c>
      <x:c r="F16" s="16" t="str">
        <x:v>65/35</x:v>
      </x:c>
      <x:c r="G16" s="16" t="str">
        <x:v>Qwen3.6-27B-UD-Q8_K_XL, F16, MTP 5_25gb,.txt</x:v>
      </x:c>
      <x:c r="H16" s="16" t="n">
        <x:v>1</x:v>
      </x:c>
      <x:c r="I16" s="16" t="n">
        <x:v>17112</x:v>
      </x:c>
      <x:c r="J16" s="18" t="n">
        <x:v>912.99</x:v>
      </x:c>
      <x:c r="K16" s="16" t="n">
        <x:v>1536</x:v>
      </x:c>
      <x:c r="L16" s="18" t="n">
        <x:v>58.39</x:v>
      </x:c>
      <x:c r="M16" s="19" t="n">
        <x:v>0.73402</x:v>
      </x:c>
      <x:c r="N16" s="18" t="n">
        <x:v>4.67</x:v>
      </x:c>
    </x:row>
    <x:row r="17">
      <x:c r="A17" s="16" t="str">
        <x:v>RPC</x:v>
      </x:c>
      <x:c r="B17" s="16" t="str">
        <x:v>25 Гбит/с</x:v>
      </x:c>
      <x:c r="C17" s="16" t="str">
        <x:v>Qwen3.6-27B-UD-Q8_K_XL</x:v>
      </x:c>
      <x:c r="D17" s="16" t="n">
        <x:v>5</x:v>
      </x:c>
      <x:c r="E17" s="16" t="n">
        <x:v>150</x:v>
      </x:c>
      <x:c r="F17" s="16" t="str">
        <x:v>65/35</x:v>
      </x:c>
      <x:c r="G17" s="16" t="str">
        <x:v>Qwen3.6-27B-UD-Q8_K_XL, F16, MTP 5_25gb,.txt</x:v>
      </x:c>
      <x:c r="H17" s="16" t="n">
        <x:v>2</x:v>
      </x:c>
      <x:c r="I17" s="16" t="n">
        <x:v>17112</x:v>
      </x:c>
      <x:c r="J17" s="18" t="n">
        <x:v>1154.2</x:v>
      </x:c>
      <x:c r="K17" s="16" t="n">
        <x:v>1536</x:v>
      </x:c>
      <x:c r="L17" s="18" t="n">
        <x:v>57.83</x:v>
      </x:c>
      <x:c r="M17" s="19" t="n">
        <x:v>0.72323</x:v>
      </x:c>
      <x:c r="N17" s="18" t="n">
        <x:v>4.61</x:v>
      </x:c>
    </x:row>
    <x:row r="18">
      <x:c r="A18" s="16" t="str">
        <x:v>RPC</x:v>
      </x:c>
      <x:c r="B18" s="16" t="str">
        <x:v>25 Гбит/с</x:v>
      </x:c>
      <x:c r="C18" s="16" t="str">
        <x:v>Muse-Glimmer-30B-UD-Q8_K_XL</x:v>
      </x:c>
      <x:c r="D18" s="16" t="n">
        <x:v>4</x:v>
      </x:c>
      <x:c r="E18" s="16" t="n">
        <x:v>150</x:v>
      </x:c>
      <x:c r="F18" s="16" t="str">
        <x:v>78/22</x:v>
      </x:c>
      <x:c r="G18" s="16" t="str">
        <x:v>Muse-Glimmer-30B-UD-Q8_K_XL MTP 4_25gb,.txt</x:v>
      </x:c>
      <x:c r="H18" s="16" t="n">
        <x:v>1</x:v>
      </x:c>
      <x:c r="I18" s="16" t="n">
        <x:v>15312</x:v>
      </x:c>
      <x:c r="J18" s="18" t="n">
        <x:v>1293.5</x:v>
      </x:c>
      <x:c r="K18" s="16" t="n">
        <x:v>1536</x:v>
      </x:c>
      <x:c r="L18" s="18" t="n">
        <x:v>50.84</x:v>
      </x:c>
      <x:c r="M18" s="19" t="n">
        <x:v>0.55282</x:v>
      </x:c>
      <x:c r="N18" s="18" t="n">
        <x:v>3.21</x:v>
      </x:c>
    </x:row>
    <x:row r="19">
      <x:c r="A19" s="16" t="str">
        <x:v>RPC</x:v>
      </x:c>
      <x:c r="B19" s="16" t="str">
        <x:v>25 Гбит/с</x:v>
      </x:c>
      <x:c r="C19" s="16" t="str">
        <x:v>Muse-Glimmer-30B-UD-Q8_K_XL</x:v>
      </x:c>
      <x:c r="D19" s="16" t="n">
        <x:v>4</x:v>
      </x:c>
      <x:c r="E19" s="16" t="n">
        <x:v>150</x:v>
      </x:c>
      <x:c r="F19" s="16" t="str">
        <x:v>78/22</x:v>
      </x:c>
      <x:c r="G19" s="16" t="str">
        <x:v>Muse-Glimmer-30B-UD-Q8_K_XL MTP 4_25gb,.txt</x:v>
      </x:c>
      <x:c r="H19" s="16" t="n">
        <x:v>2</x:v>
      </x:c>
      <x:c r="I19" s="16" t="n">
        <x:v>15312</x:v>
      </x:c>
      <x:c r="J19" s="18" t="n">
        <x:v>1318.81</x:v>
      </x:c>
      <x:c r="K19" s="16" t="n">
        <x:v>1536</x:v>
      </x:c>
      <x:c r="L19" s="18" t="n">
        <x:v>42.54</x:v>
      </x:c>
      <x:c r="M19" s="19" t="n">
        <x:v>0.38704</x:v>
      </x:c>
      <x:c r="N19" s="18" t="n">
        <x:v>2.55</x:v>
      </x:c>
    </x:row>
    <x:row r="20">
      <x:c r="A20" s="16" t="str">
        <x:v>RPC</x:v>
      </x:c>
      <x:c r="B20" s="16" t="str">
        <x:v>25 Гбит/с</x:v>
      </x:c>
      <x:c r="C20" s="16" t="str">
        <x:v>Muse-Glimmer-30B-UD-Q8_K_XL</x:v>
      </x:c>
      <x:c r="D20" s="16" t="n">
        <x:v>3</x:v>
      </x:c>
      <x:c r="E20" s="16" t="n">
        <x:v>150</x:v>
      </x:c>
      <x:c r="F20" s="16" t="str">
        <x:v>78/22</x:v>
      </x:c>
      <x:c r="G20" s="16" t="str">
        <x:v>Muse-Glimmer-30B-UD-Q8_K_XL MTP 3_25gb,.txt</x:v>
      </x:c>
      <x:c r="H20" s="16" t="n">
        <x:v>1</x:v>
      </x:c>
      <x:c r="I20" s="16" t="n">
        <x:v>15312</x:v>
      </x:c>
      <x:c r="J20" s="18" t="n">
        <x:v>1341.32</x:v>
      </x:c>
      <x:c r="K20" s="16" t="n">
        <x:v>1536</x:v>
      </x:c>
      <x:c r="L20" s="18" t="n">
        <x:v>43.41</x:v>
      </x:c>
      <x:c r="M20" s="19" t="n">
        <x:v>0.45773</x:v>
      </x:c>
      <x:c r="N20" s="18" t="n">
        <x:v>2.37</x:v>
      </x:c>
    </x:row>
    <x:row r="21">
      <x:c r="A21" s="16" t="str">
        <x:v>RPC</x:v>
      </x:c>
      <x:c r="B21" s="16" t="str">
        <x:v>25 Гбит/с</x:v>
      </x:c>
      <x:c r="C21" s="16" t="str">
        <x:v>Muse-Glimmer-30B-UD-Q8_K_XL</x:v>
      </x:c>
      <x:c r="D21" s="16" t="n">
        <x:v>3</x:v>
      </x:c>
      <x:c r="E21" s="16" t="n">
        <x:v>150</x:v>
      </x:c>
      <x:c r="F21" s="16" t="str">
        <x:v>78/22</x:v>
      </x:c>
      <x:c r="G21" s="16" t="str">
        <x:v>Muse-Glimmer-30B-UD-Q8_K_XL MTP 3_25gb,.txt</x:v>
      </x:c>
      <x:c r="H21" s="16" t="n">
        <x:v>2</x:v>
      </x:c>
      <x:c r="I21" s="16" t="n">
        <x:v>15312</x:v>
      </x:c>
      <x:c r="J21" s="18" t="n">
        <x:v>1352.96</x:v>
      </x:c>
      <x:c r="K21" s="16" t="n">
        <x:v>1536</x:v>
      </x:c>
      <x:c r="L21" s="18" t="n">
        <x:v>55.61</x:v>
      </x:c>
      <x:c r="M21" s="19" t="n">
        <x:v>0.67477</x:v>
      </x:c>
      <x:c r="N21" s="18" t="n">
        <x:v>3.02</x:v>
      </x:c>
    </x:row>
    <x:row r="22">
      <x:c r="A22" s="16" t="str">
        <x:v>RPC</x:v>
      </x:c>
      <x:c r="B22" s="16" t="str">
        <x:v>25 Гбит/с</x:v>
      </x:c>
      <x:c r="C22" s="16" t="str">
        <x:v>Muse-Glimmer-30B-UD-Q8_K_XL</x:v>
      </x:c>
      <x:c r="D22" s="16" t="n">
        <x:v>5</x:v>
      </x:c>
      <x:c r="E22" s="16" t="n">
        <x:v>150</x:v>
      </x:c>
      <x:c r="F22" s="16" t="str">
        <x:v>78/22</x:v>
      </x:c>
      <x:c r="G22" s="16" t="str">
        <x:v>Muse-Glimmer-30B-UD-Q8_K_XL MTP 5_25gb,.txt</x:v>
      </x:c>
      <x:c r="H22" s="16" t="n">
        <x:v>1</x:v>
      </x:c>
      <x:c r="I22" s="16" t="n">
        <x:v>15312</x:v>
      </x:c>
      <x:c r="J22" s="18" t="n">
        <x:v>1327.36</x:v>
      </x:c>
      <x:c r="K22" s="16" t="n">
        <x:v>1536</x:v>
      </x:c>
      <x:c r="L22" s="18" t="n">
        <x:v>34.75</x:v>
      </x:c>
      <x:c r="M22" s="19" t="n">
        <x:v>0.26104</x:v>
      </x:c>
      <x:c r="N22" s="18" t="n">
        <x:v>2.3</x:v>
      </x:c>
    </x:row>
    <x:row r="23">
      <x:c r="A23" s="16" t="str">
        <x:v>RPC</x:v>
      </x:c>
      <x:c r="B23" s="16" t="str">
        <x:v>25 Гбит/с</x:v>
      </x:c>
      <x:c r="C23" s="16" t="str">
        <x:v>Muse-Glimmer-30B-UD-Q8_K_XL</x:v>
      </x:c>
      <x:c r="D23" s="16" t="n">
        <x:v>5</x:v>
      </x:c>
      <x:c r="E23" s="16" t="n">
        <x:v>150</x:v>
      </x:c>
      <x:c r="F23" s="16" t="str">
        <x:v>78/22</x:v>
      </x:c>
      <x:c r="G23" s="16" t="str">
        <x:v>Muse-Glimmer-30B-UD-Q8_K_XL MTP 5_25gb,.txt</x:v>
      </x:c>
      <x:c r="H23" s="16" t="n">
        <x:v>2</x:v>
      </x:c>
      <x:c r="I23" s="16" t="n">
        <x:v>15312</x:v>
      </x:c>
      <x:c r="J23" s="18" t="n">
        <x:v>1336.11</x:v>
      </x:c>
      <x:c r="K23" s="16" t="n">
        <x:v>1536</x:v>
      </x:c>
      <x:c r="L23" s="18" t="n">
        <x:v>52.66</x:v>
      </x:c>
      <x:c r="M23" s="19" t="n">
        <x:v>0.50436</x:v>
      </x:c>
      <x:c r="N23" s="18" t="n">
        <x:v>3.52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fb186f7686be47b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5" t="str">
        <x:v>Сравнение локального запуска и RPC 25 Гбит/с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 ht="42" customHeight="1">
      <x:c r="A3" s="17" t="str">
        <x:v>Профиль</x:v>
      </x:c>
      <x:c r="B3" s="17" t="str">
        <x:v>Локальный источник</x:v>
      </x:c>
      <x:c r="C3" s="17" t="str">
        <x:v>RPC-источник</x:v>
      </x:c>
      <x:c r="D3" s="17" t="str">
        <x:v>Локально: вход</x:v>
      </x:c>
      <x:c r="E3" s="17" t="str">
        <x:v>RPC: вход</x:v>
      </x:c>
      <x:c r="F3" s="17" t="str">
        <x:v>Изменение входа</x:v>
      </x:c>
      <x:c r="G3" s="17" t="str">
        <x:v>Локально: генерация</x:v>
      </x:c>
      <x:c r="H3" s="17" t="str">
        <x:v>RPC: генерация</x:v>
      </x:c>
      <x:c r="I3" s="17" t="str">
        <x:v>Изменение генерации</x:v>
      </x:c>
      <x:c r="J3" s="17" t="str">
        <x:v>Локально: draft</x:v>
      </x:c>
      <x:c r="K3" s="17" t="str">
        <x:v>RPC: draft</x:v>
      </x:c>
      <x:c r="L3" s="17" t="str">
        <x:v>Изменение draft</x:v>
      </x:c>
    </x:row>
    <x:row r="4">
      <x:c r="A4" s="16" t="str">
        <x:v>Muse-Glimmer-30B-UD-Q8_K_XL MTP 5 (Muse4-100)</x:v>
      </x:c>
      <x:c r="B4" s="16" t="str">
        <x:v>Muse4-100.txt</x:v>
      </x:c>
      <x:c r="C4" s="16" t="str">
        <x:v>Muse-Glimmer-30B-UD-Q8_K_XL MTP 5_25gb,.txt</x:v>
      </x:c>
      <x:c r="D4" s="18" t="n">
        <x:f>AVERAGEIFS('Все замеры'!$J$4:$J$23,'Все замеры'!$G$4:$G$23,B4)</x:f>
        <x:v>2178.61</x:v>
      </x:c>
      <x:c r="E4" s="18" t="n">
        <x:f>AVERAGEIFS('Все замеры'!$J$4:$J$23,'Все замеры'!$G$4:$G$23,C4)</x:f>
        <x:v>1331.735</x:v>
      </x:c>
      <x:c r="F4" s="19" t="n">
        <x:f>E4/D4-1</x:f>
        <x:v>-0.38872262589449247</x:v>
      </x:c>
      <x:c r="G4" s="18" t="n">
        <x:f>AVERAGEIFS('Все замеры'!$L$4:$L$23,'Все замеры'!$G$4:$G$23,B4)</x:f>
        <x:v>87.67500000000001</x:v>
      </x:c>
      <x:c r="H4" s="18" t="n">
        <x:f>AVERAGEIFS('Все замеры'!$L$4:$L$23,'Все замеры'!$G$4:$G$23,C4)</x:f>
        <x:v>43.705</x:v>
      </x:c>
      <x:c r="I4" s="19" t="n">
        <x:f>H4/G4-1</x:f>
        <x:v>-0.50151126318791</x:v>
      </x:c>
      <x:c r="J4" s="19" t="n">
        <x:f>AVERAGEIFS('Все замеры'!$M$4:$M$23,'Все замеры'!$G$4:$G$23,B4)</x:f>
        <x:v>0.67683</x:v>
      </x:c>
      <x:c r="K4" s="19" t="n">
        <x:f>AVERAGEIFS('Все замеры'!$M$4:$M$23,'Все замеры'!$G$4:$G$23,C4)</x:f>
        <x:v>0.38270000000000004</x:v>
      </x:c>
      <x:c r="L4" s="19" t="n">
        <x:f>K4/J4-1</x:f>
        <x:v>-0.4345699806450659</x:v>
      </x:c>
    </x:row>
    <x:row r="5">
      <x:c r="A5" s="16" t="str">
        <x:v>Muse-Glimmer-30B-UD-Q8_K_XL MTP 5 (Muse5-70)</x:v>
      </x:c>
      <x:c r="B5" s="16" t="str">
        <x:v>Muse5-70.txt</x:v>
      </x:c>
      <x:c r="C5" s="16" t="str">
        <x:v>Muse-Glimmer-30B-UD-Q8_K_XL MTP 5_25gb,.txt</x:v>
      </x:c>
      <x:c r="D5" s="18" t="n">
        <x:f>AVERAGEIFS('Все замеры'!$J$4:$J$23,'Все замеры'!$G$4:$G$23,B5)</x:f>
        <x:v>2091.62</x:v>
      </x:c>
      <x:c r="E5" s="18" t="n">
        <x:f>AVERAGEIFS('Все замеры'!$J$4:$J$23,'Все замеры'!$G$4:$G$23,C5)</x:f>
        <x:v>1331.735</x:v>
      </x:c>
      <x:c r="F5" s="19" t="n">
        <x:f>E5/D5-1</x:f>
        <x:v>-0.36329973895831935</x:v>
      </x:c>
      <x:c r="G5" s="18" t="n">
        <x:f>AVERAGEIFS('Все замеры'!$L$4:$L$23,'Все замеры'!$G$4:$G$23,B5)</x:f>
        <x:v>65.66999999999999</x:v>
      </x:c>
      <x:c r="H5" s="18" t="n">
        <x:f>AVERAGEIFS('Все замеры'!$L$4:$L$23,'Все замеры'!$G$4:$G$23,C5)</x:f>
        <x:v>43.705</x:v>
      </x:c>
      <x:c r="I5" s="19" t="n">
        <x:f>H5/G5-1</x:f>
        <x:v>-0.3344754073397288</x:v>
      </x:c>
      <x:c r="J5" s="19" t="n">
        <x:f>AVERAGEIFS('Все замеры'!$M$4:$M$23,'Все замеры'!$G$4:$G$23,B5)</x:f>
        <x:v>0.42115</x:v>
      </x:c>
      <x:c r="K5" s="19" t="n">
        <x:f>AVERAGEIFS('Все замеры'!$M$4:$M$23,'Все замеры'!$G$4:$G$23,C5)</x:f>
        <x:v>0.38270000000000004</x:v>
      </x:c>
      <x:c r="L5" s="19" t="n">
        <x:f>K5/J5-1</x:f>
        <x:v>-0.09129763742134622</x:v>
      </x:c>
    </x:row>
    <x:row r="6">
      <x:c r="A6" s="16" t="str">
        <x:v>Muse-Glimmer-30B-UD-Q8_K_XL MTP 3</x:v>
      </x:c>
      <x:c r="B6" s="16" t="str">
        <x:v>Muse3-55.txt</x:v>
      </x:c>
      <x:c r="C6" s="16" t="str">
        <x:v>Muse-Glimmer-30B-UD-Q8_K_XL MTP 3_25gb,.txt</x:v>
      </x:c>
      <x:c r="D6" s="18" t="n">
        <x:f>AVERAGEIFS('Все замеры'!$J$4:$J$23,'Все замеры'!$G$4:$G$23,B6)</x:f>
        <x:v>2137.9300000000003</x:v>
      </x:c>
      <x:c r="E6" s="18" t="n">
        <x:f>AVERAGEIFS('Все замеры'!$J$4:$J$23,'Все замеры'!$G$4:$G$23,C6)</x:f>
        <x:v>1347.1399999999999</x:v>
      </x:c>
      <x:c r="F6" s="19" t="n">
        <x:f>E6/D6-1</x:f>
        <x:v>-0.3698858241383022</x:v>
      </x:c>
      <x:c r="G6" s="18" t="n">
        <x:f>AVERAGEIFS('Все замеры'!$L$4:$L$23,'Все замеры'!$G$4:$G$23,B6)</x:f>
        <x:v>82.42500000000001</x:v>
      </x:c>
      <x:c r="H6" s="18" t="n">
        <x:f>AVERAGEIFS('Все замеры'!$L$4:$L$23,'Все замеры'!$G$4:$G$23,C6)</x:f>
        <x:v>49.51</x:v>
      </x:c>
      <x:c r="I6" s="19" t="n">
        <x:f>H6/G6-1</x:f>
        <x:v>-0.39933272672126185</x:v>
      </x:c>
      <x:c r="J6" s="19" t="n">
        <x:f>AVERAGEIFS('Все замеры'!$M$4:$M$23,'Все замеры'!$G$4:$G$23,B6)</x:f>
        <x:v>0.755495</x:v>
      </x:c>
      <x:c r="K6" s="19" t="n">
        <x:f>AVERAGEIFS('Все замеры'!$M$4:$M$23,'Все замеры'!$G$4:$G$23,C6)</x:f>
        <x:v>0.56625</x:v>
      </x:c>
      <x:c r="L6" s="19" t="n">
        <x:f>K6/J6-1</x:f>
        <x:v>-0.25049139967835654</x:v>
      </x:c>
    </x:row>
    <x:row r="7">
      <x:c r="A7" s="16" t="str">
        <x:v>Qwen3.6-27B-UD-Q8_K_XL, F16, MTP 5</x:v>
      </x:c>
      <x:c r="B7" s="16" t="str">
        <x:v>Квин Q8.txt</x:v>
      </x:c>
      <x:c r="C7" s="16" t="str">
        <x:v>Qwen3.6-27B-UD-Q8_K_XL, F16, MTP 5_25gb,.txt</x:v>
      </x:c>
      <x:c r="D7" s="18" t="n">
        <x:f>AVERAGEIFS('Все замеры'!$J$4:$J$23,'Все замеры'!$G$4:$G$23,B7)</x:f>
        <x:v>1749.5</x:v>
      </x:c>
      <x:c r="E7" s="18" t="n">
        <x:f>AVERAGEIFS('Все замеры'!$J$4:$J$23,'Все замеры'!$G$4:$G$23,C7)</x:f>
        <x:v>1033.595</x:v>
      </x:c>
      <x:c r="F7" s="19" t="n">
        <x:f>E7/D7-1</x:f>
        <x:v>-0.4092054872820806</x:v>
      </x:c>
      <x:c r="G7" s="18" t="n">
        <x:f>AVERAGEIFS('Все замеры'!$L$4:$L$23,'Все замеры'!$G$4:$G$23,B7)</x:f>
        <x:v>76.065</x:v>
      </x:c>
      <x:c r="H7" s="18" t="n">
        <x:f>AVERAGEIFS('Все замеры'!$L$4:$L$23,'Все замеры'!$G$4:$G$23,C7)</x:f>
        <x:v>58.11</x:v>
      </x:c>
      <x:c r="I7" s="19" t="n">
        <x:f>H7/G7-1</x:f>
        <x:v>-0.2360481167422599</x:v>
      </x:c>
      <x:c r="J7" s="19" t="n">
        <x:f>AVERAGEIFS('Все замеры'!$M$4:$M$23,'Все замеры'!$G$4:$G$23,B7)</x:f>
        <x:v>0.746075</x:v>
      </x:c>
      <x:c r="K7" s="19" t="n">
        <x:f>AVERAGEIFS('Все замеры'!$M$4:$M$23,'Все замеры'!$G$4:$G$23,C7)</x:f>
        <x:v>0.7286250000000001</x:v>
      </x:c>
      <x:c r="L7" s="19" t="n">
        <x:f>K7/J7-1</x:f>
        <x:v>-0.023389069463525702</x:v>
      </x:c>
    </x:row>
    <x:row r="8">
      <x:c r="A8" s="16" t="str">
        <x:v>ThinkingCap-Qwen3.6-27B-Q8_0-MTP, F16, MTP 5</x:v>
      </x:c>
      <x:c r="B8" s="16" t="str">
        <x:v>Танкингq8.txt</x:v>
      </x:c>
      <x:c r="C8" s="16" t="str">
        <x:v>ThinkingCap-Qwen3.6-27B-Q8_0-MTP_25gb, F.txt</x:v>
      </x:c>
      <x:c r="D8" s="18" t="n">
        <x:f>AVERAGEIFS('Все замеры'!$J$4:$J$23,'Все замеры'!$G$4:$G$23,B8)</x:f>
        <x:v>1918.88</x:v>
      </x:c>
      <x:c r="E8" s="18" t="n">
        <x:f>AVERAGEIFS('Все замеры'!$J$4:$J$23,'Все замеры'!$G$4:$G$23,C8)</x:f>
        <x:v>924.1949999999999</x:v>
      </x:c>
      <x:c r="F8" s="19" t="n">
        <x:f>E8/D8-1</x:f>
        <x:v>-0.5183674851996999</x:v>
      </x:c>
      <x:c r="G8" s="18" t="n">
        <x:f>AVERAGEIFS('Все замеры'!$L$4:$L$23,'Все замеры'!$G$4:$G$23,B8)</x:f>
        <x:v>89.22</x:v>
      </x:c>
      <x:c r="H8" s="18" t="n">
        <x:f>AVERAGEIFS('Все замеры'!$L$4:$L$23,'Все замеры'!$G$4:$G$23,C8)</x:f>
        <x:v>68.57</x:v>
      </x:c>
      <x:c r="I8" s="19" t="n">
        <x:f>H8/G8-1</x:f>
        <x:v>-0.23145034745572746</x:v>
      </x:c>
      <x:c r="J8" s="19" t="n">
        <x:f>AVERAGEIFS('Все замеры'!$M$4:$M$23,'Все замеры'!$G$4:$G$23,B8)</x:f>
        <x:v>0.674305</x:v>
      </x:c>
      <x:c r="K8" s="19" t="n">
        <x:f>AVERAGEIFS('Все замеры'!$M$4:$M$23,'Все замеры'!$G$4:$G$23,C8)</x:f>
        <x:v>0.775325</x:v>
      </x:c>
      <x:c r="L8" s="19" t="n">
        <x:f>K8/J8-1</x:f>
        <x:v>0.14981351168981405</x:v>
      </x:c>
    </x:row>
    <x:row r="9">
      <x:c r="A9" s="16" t="str">
        <x:v>Muse-Glimmer-30B-UD-Q8_K_XL MTP 4 (только RPC)</x:v>
      </x:c>
      <x:c r="B9" s="16" t="str"/>
      <x:c r="C9" s="16" t="str">
        <x:v>Muse-Glimmer-30B-UD-Q8_K_XL MTP 4_25gb,.txt</x:v>
      </x:c>
      <x:c r="D9" s="18"/>
      <x:c r="E9" s="18" t="n">
        <x:f>AVERAGEIFS('Все замеры'!$J$4:$J$23,'Все замеры'!$G$4:$G$23,C9)</x:f>
        <x:v>1306.155</x:v>
      </x:c>
      <x:c r="F9" s="19"/>
      <x:c r="G9" s="18"/>
      <x:c r="H9" s="18" t="n">
        <x:f>AVERAGEIFS('Все замеры'!$L$4:$L$23,'Все замеры'!$G$4:$G$23,C9)</x:f>
        <x:v>46.69</x:v>
      </x:c>
      <x:c r="I9" s="19"/>
      <x:c r="J9" s="19"/>
      <x:c r="K9" s="19" t="n">
        <x:f>AVERAGEIFS('Все замеры'!$M$4:$M$23,'Все замеры'!$G$4:$G$23,C9)</x:f>
        <x:v>0.46992999999999996</x:v>
      </x:c>
      <x:c r="L9" s="19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cd99fc6f1134b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20" hidden="0" customWidth="1"/>
  </x:cols>
  <x:sheetData>
    <x:row r="1">
      <x:c r="A1" s="15" t="str">
        <x:v>Отчёт: влияние RPC через 25 Гбит/с</x:v>
      </x:c>
      <x:c r="B1" s="15"/>
      <x:c r="C1" s="15"/>
      <x:c r="D1" s="15"/>
      <x:c r="E1" s="15"/>
      <x:c r="F1" s="15"/>
      <x:c r="G1" s="15"/>
      <x:c r="H1" s="15"/>
      <x:c r="I1" s="16"/>
      <x:c r="J1" s="16"/>
      <x:c r="K1" s="16"/>
      <x:c r="L1" s="16"/>
      <x:c r="M1" s="16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>
      <x:c r="A3" s="17" t="str">
        <x:v>Ключевой показатель</x:v>
      </x:c>
      <x:c r="B3" s="17" t="str">
        <x:v>Значение</x:v>
      </x:c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>
      <x:c r="A4" s="16" t="str">
        <x:v>Среднее изменение обработки входа</x:v>
      </x:c>
      <x:c r="B4" s="19" t="n">
        <x:f>AVERAGE('Сравнение'!F4:F8)</x:f>
        <x:v>-0.40989623229457894</x:v>
      </x:c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</x:row>
    <x:row r="5">
      <x:c r="A5" s="16" t="str">
        <x:v>Среднее изменение генерации</x:v>
      </x:c>
      <x:c r="B5" s="19" t="n">
        <x:f>AVERAGE('Сравнение'!I4:I8)</x:f>
        <x:v>-0.34056357228937756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6" t="str">
        <x:v>Среднее изменение принятия draft</x:v>
      </x:c>
      <x:c r="B6" s="19" t="n">
        <x:f>AVERAGE('Сравнение'!L4:L8)</x:f>
        <x:v>-0.12998691510369606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7" t="str">
        <x:v>Профиль</x:v>
      </x:c>
      <x:c r="B8" s="17" t="str">
        <x:v>Локально</x:v>
      </x:c>
      <x:c r="C8" s="17" t="str">
        <x:v>RPC 25 Гбит/с</x:v>
      </x:c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6" t="str">
        <x:f>SUBSTITUTE(SUBSTITUTE(SUBSTITUTE('Сравнение'!A4,"-UD-","-UD-"&amp;CHAR(10))," MTP ",CHAR(10)&amp;"MTP ")," (",CHAR(10)&amp;"(")</x:f>
        <x:v>Muse-Glimmer-30B-UD-
Q8_K_XL
MTP 5
(Muse4-100)</x:v>
      </x:c>
      <x:c r="B9" s="16" t="n">
        <x:f>'Сравнение'!D4</x:f>
        <x:v>2178.61</x:v>
      </x:c>
      <x:c r="C9" s="16" t="n">
        <x:f>'Сравнение'!E4</x:f>
        <x:v>1331.735</x:v>
      </x:c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>
      <x:c r="A10" s="16" t="str">
        <x:f>SUBSTITUTE(SUBSTITUTE(SUBSTITUTE('Сравнение'!A5,"-UD-","-UD-"&amp;CHAR(10))," MTP ",CHAR(10)&amp;"MTP ")," (",CHAR(10)&amp;"(")</x:f>
        <x:v>Muse-Glimmer-30B-UD-
Q8_K_XL
MTP 5
(Muse5-70)</x:v>
      </x:c>
      <x:c r="B10" s="16" t="n">
        <x:f>'Сравнение'!D5</x:f>
        <x:v>2091.62</x:v>
      </x:c>
      <x:c r="C10" s="16" t="n">
        <x:f>'Сравнение'!E5</x:f>
        <x:v>1331.735</x:v>
      </x:c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>
      <x:c r="A11" s="16" t="str">
        <x:f>SUBSTITUTE(SUBSTITUTE('Сравнение'!A6,"-UD-","-UD-"&amp;CHAR(10))," MTP ",CHAR(10)&amp;"MTP ")</x:f>
        <x:v>Muse-Glimmer-30B-UD-
Q8_K_XL
MTP 3</x:v>
      </x:c>
      <x:c r="B11" s="16" t="n">
        <x:f>'Сравнение'!D6</x:f>
        <x:v>2137.9300000000003</x:v>
      </x:c>
      <x:c r="C11" s="16" t="n">
        <x:f>'Сравнение'!E6</x:f>
        <x:v>1347.1399999999999</x:v>
      </x:c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>
      <x:c r="A12" s="16" t="str">
        <x:f>SUBSTITUTE(SUBSTITUTE('Сравнение'!A7,"-UD-","-UD-"&amp;CHAR(10)),", ",CHAR(10))</x:f>
        <x:v>Qwen3.6-27B-UD-
Q8_K_XL
F16
MTP 5</x:v>
      </x:c>
      <x:c r="B12" s="16" t="n">
        <x:f>'Сравнение'!D7</x:f>
        <x:v>1749.5</x:v>
      </x:c>
      <x:c r="C12" s="16" t="n">
        <x:f>'Сравнение'!E7</x:f>
        <x:v>1033.595</x:v>
      </x:c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>
      <x:c r="A13" s="16" t="str">
        <x:f>SUBSTITUTE(SUBSTITUTE('Сравнение'!A8,"-27B-","-27B-"&amp;CHAR(10)),", ",CHAR(10))</x:f>
        <x:v>ThinkingCap-Qwen3.6-27B-
Q8_0-MTP
F16
MTP 5</x:v>
      </x:c>
      <x:c r="B13" s="16" t="n">
        <x:f>'Сравнение'!D8</x:f>
        <x:v>1918.88</x:v>
      </x:c>
      <x:c r="C13" s="16" t="n">
        <x:f>'Сравнение'!E8</x:f>
        <x:v>924.1949999999999</x:v>
      </x:c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>
      <x:c r="A14" s="16" t="str">
        <x:f>SUBSTITUTE('Сравнение'!A9," (",CHAR(10)&amp;"(")</x:f>
        <x:v>Muse-Glimmer-30B-UD-Q8_K_XL MTP 4
(только RPC)</x:v>
      </x:c>
      <x:c r="B14" s="16"/>
      <x:c r="C14" s="16" t="n">
        <x:f>'Сравнение'!E9</x:f>
        <x:v>1306.155</x:v>
      </x:c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>
      <x:c r="A17" s="17" t="str">
        <x:v>Профиль</x:v>
      </x:c>
      <x:c r="B17" s="17" t="str">
        <x:v>Локально</x:v>
      </x:c>
      <x:c r="C17" s="17" t="str">
        <x:v>RPC 25 Гбит/с</x:v>
      </x:c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>
      <x:c r="A18" s="16" t="str">
        <x:f>SUBSTITUTE(SUBSTITUTE(SUBSTITUTE('Сравнение'!A4,"-UD-","-UD-"&amp;CHAR(10))," MTP ",CHAR(10)&amp;"MTP ")," (",CHAR(10)&amp;"(")</x:f>
        <x:v>Muse-Glimmer-30B-UD-
Q8_K_XL
MTP 5
(Muse4-100)</x:v>
      </x:c>
      <x:c r="B18" s="16" t="n">
        <x:f>'Сравнение'!G4</x:f>
        <x:v>87.67500000000001</x:v>
      </x:c>
      <x:c r="C18" s="16" t="n">
        <x:f>'Сравнение'!H4</x:f>
        <x:v>43.705</x:v>
      </x:c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</x:row>
    <x:row r="19">
      <x:c r="A19" s="16" t="str">
        <x:f>SUBSTITUTE(SUBSTITUTE(SUBSTITUTE('Сравнение'!A5,"-UD-","-UD-"&amp;CHAR(10))," MTP ",CHAR(10)&amp;"MTP ")," (",CHAR(10)&amp;"(")</x:f>
        <x:v>Muse-Glimmer-30B-UD-
Q8_K_XL
MTP 5
(Muse5-70)</x:v>
      </x:c>
      <x:c r="B19" s="16" t="n">
        <x:f>'Сравнение'!G5</x:f>
        <x:v>65.66999999999999</x:v>
      </x:c>
      <x:c r="C19" s="16" t="n">
        <x:f>'Сравнение'!H5</x:f>
        <x:v>43.705</x:v>
      </x:c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</x:row>
    <x:row r="20">
      <x:c r="A20" s="16" t="str">
        <x:f>SUBSTITUTE(SUBSTITUTE('Сравнение'!A6,"-UD-","-UD-"&amp;CHAR(10))," MTP ",CHAR(10)&amp;"MTP ")</x:f>
        <x:v>Muse-Glimmer-30B-UD-
Q8_K_XL
MTP 3</x:v>
      </x:c>
      <x:c r="B20" s="16" t="n">
        <x:f>'Сравнение'!G6</x:f>
        <x:v>82.42500000000001</x:v>
      </x:c>
      <x:c r="C20" s="16" t="n">
        <x:f>'Сравнение'!H6</x:f>
        <x:v>49.51</x:v>
      </x:c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</x:row>
    <x:row r="21">
      <x:c r="A21" s="16" t="str">
        <x:f>SUBSTITUTE(SUBSTITUTE('Сравнение'!A7,"-UD-","-UD-"&amp;CHAR(10)),", ",CHAR(10))</x:f>
        <x:v>Qwen3.6-27B-UD-
Q8_K_XL
F16
MTP 5</x:v>
      </x:c>
      <x:c r="B21" s="16" t="n">
        <x:f>'Сравнение'!G7</x:f>
        <x:v>76.065</x:v>
      </x:c>
      <x:c r="C21" s="16" t="n">
        <x:f>'Сравнение'!H7</x:f>
        <x:v>58.11</x:v>
      </x:c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</x:row>
    <x:row r="22">
      <x:c r="A22" s="16" t="str">
        <x:f>SUBSTITUTE(SUBSTITUTE('Сравнение'!A8,"-27B-","-27B-"&amp;CHAR(10)),", ",CHAR(10))</x:f>
        <x:v>ThinkingCap-Qwen3.6-27B-
Q8_0-MTP
F16
MTP 5</x:v>
      </x:c>
      <x:c r="B22" s="16" t="n">
        <x:f>'Сравнение'!G8</x:f>
        <x:v>89.22</x:v>
      </x:c>
      <x:c r="C22" s="16" t="n">
        <x:f>'Сравнение'!H8</x:f>
        <x:v>68.57</x:v>
      </x:c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</x:row>
    <x:row r="23">
      <x:c r="A23" s="16" t="str">
        <x:f>SUBSTITUTE('Сравнение'!A9," (",CHAR(10)&amp;"(")</x:f>
        <x:v>Muse-Glimmer-30B-UD-Q8_K_XL MTP 4
(только RPC)</x:v>
      </x:c>
      <x:c r="B23" s="16"/>
      <x:c r="C23" s="16" t="n">
        <x:f>'Сравнение'!H9</x:f>
        <x:v>46.69</x:v>
      </x:c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</x:row>
    <x:row r="26">
      <x:c r="A26" s="20" t="str">
        <x:v>Вывод: RPC через 25 Гбит/с заметно снижает прежде всего скорость обработки большого входного контекста. Скорость генерации также ниже во всех сопоставимых профилях. Результаты MTP 4 представлены только для RPC, поэтому прямого локального сравнения для них нет.</x:v>
      </x:c>
      <x:c r="B26" s="20"/>
      <x:c r="C26" s="20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</x:row>
    <x:row r="27">
      <x:c r="A27" s="20"/>
      <x:c r="B27" s="20"/>
      <x:c r="C27" s="20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</x:row>
    <x:row r="28">
      <x:c r="A28" s="20"/>
      <x:c r="B28" s="20"/>
      <x:c r="C28" s="20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</x:row>
    <x:row r="29">
      <x:c r="A29" s="20"/>
      <x:c r="B29" s="20"/>
      <x:c r="C29" s="20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</x:row>
    <x:row r="30">
      <x:c r="A30" s="20"/>
      <x:c r="B30" s="20"/>
      <x:c r="C30" s="20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</x:row>
  </x:sheetData>
  <x:mergeCells>
    <x:mergeCell ref="A1:H1"/>
    <x:mergeCell ref="A26:C30"/>
  </x:mergeCells>
  <x:pageMargins left="0.7" right="0.7" top="0.75" bottom="0.75" header="0.3" footer="0.3"/>
  <x:drawing xmlns:r="http://schemas.openxmlformats.org/officeDocument/2006/relationships" r:id="R34d86f591f6c4315"/>
</x:worksheet>
</file>