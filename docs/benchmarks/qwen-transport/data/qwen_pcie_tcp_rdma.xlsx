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97182ed93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замеры" sheetId="1" r:id="Rf097aad851dd4912"/>
    <x:sheet xmlns:r="http://schemas.openxmlformats.org/officeDocument/2006/relationships" name="Сравнение" sheetId="2" r:id="R598e261f7868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8">
    <x:font>
      <x:sz val="11"/>
      <x:name val="Carlito"/>
    </x:font>
    <x:font>
      <x:sz val="11"/>
      <x:color rgb="FF5C4700"/>
      <x:name val="Carlito"/>
    </x:font>
    <x:font>
      <x:b/>
      <x:sz val="16"/>
      <x:color rgb="FFFFFFFF"/>
      <x:name val="Aptos Display"/>
    </x:font>
    <x:font>
      <x:b/>
      <x:sz val="11"/>
      <x:color rgb="FF17324D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24D"/>
      <x:name val="Aptos"/>
    </x:font>
    <x:font>
      <x:sz val="10"/>
      <x:color rgb="FF5C47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70c763ba54e8e" /><Relationship Type="http://schemas.openxmlformats.org/officeDocument/2006/relationships/theme" Target="/xl/theme/theme1.xml" Id="Rba1073763e6c4bf7" /><Relationship Type="http://schemas.openxmlformats.org/officeDocument/2006/relationships/sharedStrings" Target="/xl/sharedStrings.xml" Id="R204d7d64525f419c" /><Relationship Type="http://schemas.openxmlformats.org/officeDocument/2006/relationships/worksheet" Target="/xl/worksheets/sheet1.xml" Id="Rf097aad851dd4912" /><Relationship Type="http://schemas.openxmlformats.org/officeDocument/2006/relationships/worksheet" Target="/xl/worksheets/sheet2.xml" Id="R598e261f786849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ceb8dc7a4541b2" /><Relationship Type="http://schemas.openxmlformats.org/officeDocument/2006/relationships/chart" Target="/xl/drawings/charts/chart2.xml" Id="R0e49ce6fbb5641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Qwen3.6-27B — обработка входа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Вход, ток/с</c:v>
          </c:tx>
          <c:cat>
            <c:strRef>
              <c:f>'Сравнение'!$A$9:$A$11</c:f>
              <c:strCache>
                <c:ptCount val="0"/>
              </c:strCache>
            </c:strRef>
          </c:cat>
          <c:val>
            <c:numRef>
              <c:f>'Сравнение'!$B$9:$B$11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Qwen3.6-27B — генерация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Генерация, ток/с</c:v>
          </c:tx>
          <c:cat>
            <c:strRef>
              <c:f>'Сравнение'!$D$9:$D$11</c:f>
              <c:strCache>
                <c:ptCount val="0"/>
              </c:strCache>
            </c:strRef>
          </c:cat>
          <c:val>
            <c:numRef>
              <c:f>'Сравнение'!$E$9:$E$11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ceb8dc7a4541b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9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49ce6fbb5641d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Transport" displayName="RawTransport" ref="A3:J9" headerRowCount="1" totalsRowCount="0" totalsRowShown="0">
  <x:tableColumns count="10">
    <x:tableColumn id="1" name="Режим"/>
    <x:tableColumn id="2" name="Схема"/>
    <x:tableColumn id="3" name="Источник"/>
    <x:tableColumn id="4" name="Замер"/>
    <x:tableColumn id="5" name="Токены входа"/>
    <x:tableColumn id="6" name="Вход, ток/с"/>
    <x:tableColumn id="7" name="Токены генерации"/>
    <x:tableColumn id="8" name="Генерация, ток/с"/>
    <x:tableColumn id="9" name="Принятие draft"/>
    <x:tableColumn id="10" name="Средняя длина draf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portSummary" displayName="TransportSummary" ref="A3:J6" headerRowCount="1" totalsRowCount="0" totalsRowShown="0">
  <x:tableColumns count="10">
    <x:tableColumn id="1" name="Режим"/>
    <x:tableColumn id="2" name="Схема"/>
    <x:tableColumn id="3" name="Средний вход, ток/с"/>
    <x:tableColumn id="4" name="Средняя генерация, ток/с"/>
    <x:tableColumn id="5" name="Среднее принятие draft"/>
    <x:tableColumn id="6" name="Средняя длина draft"/>
    <x:tableColumn id="7" name="Изменение входа к PCIe"/>
    <x:tableColumn id="8" name="Изменение генерации к PCIe"/>
    <x:tableColumn id="9" name="Изменение draft к PCIe"/>
    <x:tableColumn id="10" name="Поясн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bd5fbb446444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ee984c92d3b4029" /><Relationship Type="http://schemas.openxmlformats.org/officeDocument/2006/relationships/table" Target="/xl/tables/table2.xml" Id="Ra82d1bbf2c924a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48" hidden="0" customWidth="1"/>
    <x:col min="4" max="4" width="8" hidden="0" customWidth="1"/>
    <x:col min="5" max="5" width="13.6300001144409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5" t="str">
        <x:v>Qwen3.6-27B-UD-Q8_K_XL, F16, MTP 5 — PCIe vs TCP vs RDMA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</x:row>
    <x:row r="3" ht="36" customHeight="1">
      <x:c r="A3" s="17" t="str">
        <x:v>Режим</x:v>
      </x:c>
      <x:c r="B3" s="17" t="str">
        <x:v>Схема</x:v>
      </x:c>
      <x:c r="C3" s="17" t="str">
        <x:v>Источник</x:v>
      </x:c>
      <x:c r="D3" s="17" t="str">
        <x:v>Замер</x:v>
      </x:c>
      <x:c r="E3" s="17" t="str">
        <x:v>Токены входа</x:v>
      </x:c>
      <x:c r="F3" s="17" t="str">
        <x:v>Вход, ток/с</x:v>
      </x:c>
      <x:c r="G3" s="17" t="str">
        <x:v>Токены генерации</x:v>
      </x:c>
      <x:c r="H3" s="17" t="str">
        <x:v>Генерация, ток/с</x:v>
      </x:c>
      <x:c r="I3" s="17" t="str">
        <x:v>Принятие draft</x:v>
      </x:c>
      <x:c r="J3" s="17" t="str">
        <x:v>Средняя длина draft</x:v>
      </x:c>
    </x:row>
    <x:row r="4">
      <x:c r="A4" s="16" t="str">
        <x:v>PCIe</x:v>
      </x:c>
      <x:c r="B4" s="16" t="str">
        <x:v>2 карты в одном компьютере</x:v>
      </x:c>
      <x:c r="C4" s="16" t="str">
        <x:v>Qwen3.6-27B-UD-Q8_K_XL_PCIe.txt</x:v>
      </x:c>
      <x:c r="D4" s="16" t="n">
        <x:v>1</x:v>
      </x:c>
      <x:c r="E4" s="16" t="n">
        <x:v>17112</x:v>
      </x:c>
      <x:c r="F4" s="18" t="n">
        <x:v>1498.76</x:v>
      </x:c>
      <x:c r="G4" s="16" t="n">
        <x:v>1536</x:v>
      </x:c>
      <x:c r="H4" s="18" t="n">
        <x:v>77.44</x:v>
      </x:c>
      <x:c r="I4" s="19" t="n">
        <x:v>0.76334</x:v>
      </x:c>
      <x:c r="J4" s="18" t="n">
        <x:v>4.81</x:v>
      </x:c>
    </x:row>
    <x:row r="5">
      <x:c r="A5" s="16" t="str">
        <x:v>PCIe</x:v>
      </x:c>
      <x:c r="B5" s="16" t="str">
        <x:v>2 карты в одном компьютере</x:v>
      </x:c>
      <x:c r="C5" s="16" t="str">
        <x:v>Qwen3.6-27B-UD-Q8_K_XL_PCIe.txt</x:v>
      </x:c>
      <x:c r="D5" s="16" t="n">
        <x:v>2</x:v>
      </x:c>
      <x:c r="E5" s="16" t="n">
        <x:v>17112</x:v>
      </x:c>
      <x:c r="F5" s="18" t="n">
        <x:v>2000.24</x:v>
      </x:c>
      <x:c r="G5" s="16" t="n">
        <x:v>1536</x:v>
      </x:c>
      <x:c r="H5" s="18" t="n">
        <x:v>74.69</x:v>
      </x:c>
      <x:c r="I5" s="19" t="n">
        <x:v>0.72881</x:v>
      </x:c>
      <x:c r="J5" s="18" t="n">
        <x:v>4.64</x:v>
      </x:c>
    </x:row>
    <x:row r="6">
      <x:c r="A6" s="16" t="str">
        <x:v>TCP</x:v>
      </x:c>
      <x:c r="B6" s="16" t="str">
        <x:v>2 компьютера через 25 Гбит/с</x:v>
      </x:c>
      <x:c r="C6" s="16" t="str">
        <x:v>Qwen3.6-27B-UD-Q8_K_XL, F16, MTP 5_25_TCPgb,.txt</x:v>
      </x:c>
      <x:c r="D6" s="16" t="n">
        <x:v>1</x:v>
      </x:c>
      <x:c r="E6" s="16" t="n">
        <x:v>17112</x:v>
      </x:c>
      <x:c r="F6" s="18" t="n">
        <x:v>912.99</x:v>
      </x:c>
      <x:c r="G6" s="16" t="n">
        <x:v>1536</x:v>
      </x:c>
      <x:c r="H6" s="18" t="n">
        <x:v>58.39</x:v>
      </x:c>
      <x:c r="I6" s="19" t="n">
        <x:v>0.73402</x:v>
      </x:c>
      <x:c r="J6" s="18" t="n">
        <x:v>4.67</x:v>
      </x:c>
    </x:row>
    <x:row r="7">
      <x:c r="A7" s="16" t="str">
        <x:v>TCP</x:v>
      </x:c>
      <x:c r="B7" s="16" t="str">
        <x:v>2 компьютера через 25 Гбит/с</x:v>
      </x:c>
      <x:c r="C7" s="16" t="str">
        <x:v>Qwen3.6-27B-UD-Q8_K_XL, F16, MTP 5_25_TCPgb,.txt</x:v>
      </x:c>
      <x:c r="D7" s="16" t="n">
        <x:v>2</x:v>
      </x:c>
      <x:c r="E7" s="16" t="n">
        <x:v>17112</x:v>
      </x:c>
      <x:c r="F7" s="18" t="n">
        <x:v>1154.2</x:v>
      </x:c>
      <x:c r="G7" s="16" t="n">
        <x:v>1536</x:v>
      </x:c>
      <x:c r="H7" s="18" t="n">
        <x:v>57.83</x:v>
      </x:c>
      <x:c r="I7" s="19" t="n">
        <x:v>0.72323</x:v>
      </x:c>
      <x:c r="J7" s="18" t="n">
        <x:v>4.61</x:v>
      </x:c>
    </x:row>
    <x:row r="8">
      <x:c r="A8" s="16" t="str">
        <x:v>RDMA</x:v>
      </x:c>
      <x:c r="B8" s="16" t="str">
        <x:v>2 компьютера через 25 Гбит/с</x:v>
      </x:c>
      <x:c r="C8" s="16" t="str">
        <x:v>Qwen3.6-27B-UD-Q8_K_XL, F16, MTP 5_RDMA,.txt</x:v>
      </x:c>
      <x:c r="D8" s="16" t="n">
        <x:v>1</x:v>
      </x:c>
      <x:c r="E8" s="16" t="n">
        <x:v>17112</x:v>
      </x:c>
      <x:c r="F8" s="18" t="n">
        <x:v>1460.41</x:v>
      </x:c>
      <x:c r="G8" s="16" t="n">
        <x:v>1536</x:v>
      </x:c>
      <x:c r="H8" s="18" t="n">
        <x:v>62.99</x:v>
      </x:c>
      <x:c r="I8" s="19" t="n">
        <x:v>0.68415</x:v>
      </x:c>
      <x:c r="J8" s="18" t="n">
        <x:v>4.42</x:v>
      </x:c>
    </x:row>
    <x:row r="9">
      <x:c r="A9" s="16" t="str">
        <x:v>RDMA</x:v>
      </x:c>
      <x:c r="B9" s="16" t="str">
        <x:v>2 компьютера через 25 Гбит/с</x:v>
      </x:c>
      <x:c r="C9" s="16" t="str">
        <x:v>Qwen3.6-27B-UD-Q8_K_XL, F16, MTP 5_RDMA,.txt</x:v>
      </x:c>
      <x:c r="D9" s="16" t="n">
        <x:v>2</x:v>
      </x:c>
      <x:c r="E9" s="16" t="n">
        <x:v>17112</x:v>
      </x:c>
      <x:c r="F9" s="18" t="n">
        <x:v>1482.11</x:v>
      </x:c>
      <x:c r="G9" s="16" t="n">
        <x:v>1536</x:v>
      </x:c>
      <x:c r="H9" s="18" t="n">
        <x:v>64.4</x:v>
      </x:c>
      <x:c r="I9" s="19" t="n">
        <x:v>0.70294</x:v>
      </x:c>
      <x:c r="J9" s="18" t="n">
        <x:v>4.51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6bd5fbb4464444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</x:cols>
  <x:sheetData>
    <x:row r="1">
      <x:c r="A1" s="15" t="str">
        <x:v>Qwen3.6-27B-UD-Q8_K_XL, F16, MTP 5 — сравнение каналов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</x:row>
    <x:row r="3" ht="42" customHeight="1">
      <x:c r="A3" s="17" t="str">
        <x:v>Режим</x:v>
      </x:c>
      <x:c r="B3" s="17" t="str">
        <x:v>Схема</x:v>
      </x:c>
      <x:c r="C3" s="17" t="str">
        <x:v>Средний вход, ток/с</x:v>
      </x:c>
      <x:c r="D3" s="17" t="str">
        <x:v>Средняя генерация, ток/с</x:v>
      </x:c>
      <x:c r="E3" s="17" t="str">
        <x:v>Среднее принятие draft</x:v>
      </x:c>
      <x:c r="F3" s="17" t="str">
        <x:v>Средняя длина draft</x:v>
      </x:c>
      <x:c r="G3" s="17" t="str">
        <x:v>Изменение входа к PCIe</x:v>
      </x:c>
      <x:c r="H3" s="17" t="str">
        <x:v>Изменение генерации к PCIe</x:v>
      </x:c>
      <x:c r="I3" s="17" t="str">
        <x:v>Изменение draft к PCIe</x:v>
      </x:c>
      <x:c r="J3" s="17" t="str">
        <x:v>Пояснение</x:v>
      </x:c>
    </x:row>
    <x:row r="4" ht="30" customHeight="1">
      <x:c r="A4" s="16" t="str">
        <x:v>PCIe</x:v>
      </x:c>
      <x:c r="B4" s="16" t="str">
        <x:v>2 карты в одном компьютере</x:v>
      </x:c>
      <x:c r="C4" s="18" t="n">
        <x:f>AVERAGEIFS('Исходные замеры'!$F$4:$F$9,'Исходные замеры'!$A$4:$A$9,A4)</x:f>
        <x:v>1749.5</x:v>
      </x:c>
      <x:c r="D4" s="18" t="n">
        <x:f>AVERAGEIFS('Исходные замеры'!$H$4:$H$9,'Исходные замеры'!$A$4:$A$9,A4)</x:f>
        <x:v>76.065</x:v>
      </x:c>
      <x:c r="E4" s="19" t="n">
        <x:f>AVERAGEIFS('Исходные замеры'!$I$4:$I$9,'Исходные замеры'!$A$4:$A$9,A4)</x:f>
        <x:v>0.746075</x:v>
      </x:c>
      <x:c r="F4" s="18" t="n">
        <x:f>AVERAGEIFS('Исходные замеры'!$J$4:$J$9,'Исходные замеры'!$A$4:$A$9,A4)</x:f>
        <x:v>4.725</x:v>
      </x:c>
      <x:c r="G4" s="19" t="n">
        <x:f>C4/$C$4-1</x:f>
        <x:v>0</x:v>
      </x:c>
      <x:c r="H4" s="19" t="n">
        <x:f>D4/$D$4-1</x:f>
        <x:v>0</x:v>
      </x:c>
      <x:c r="I4" s="19" t="n">
        <x:f>E4/$E$4-1</x:f>
        <x:v>0</x:v>
      </x:c>
      <x:c r="J4" s="21" t="str">
        <x:v>Эталон: две карты связаны внутри одного ПК через PCIe.</x:v>
      </x:c>
    </x:row>
    <x:row r="5" ht="30" customHeight="1">
      <x:c r="A5" s="16" t="str">
        <x:v>TCP</x:v>
      </x:c>
      <x:c r="B5" s="16" t="str">
        <x:v>2 компьютера через 25 Гбит/с</x:v>
      </x:c>
      <x:c r="C5" s="18" t="n">
        <x:f>AVERAGEIFS('Исходные замеры'!$F$4:$F$9,'Исходные замеры'!$A$4:$A$9,A5)</x:f>
        <x:v>1033.595</x:v>
      </x:c>
      <x:c r="D5" s="18" t="n">
        <x:f>AVERAGEIFS('Исходные замеры'!$H$4:$H$9,'Исходные замеры'!$A$4:$A$9,A5)</x:f>
        <x:v>58.11</x:v>
      </x:c>
      <x:c r="E5" s="19" t="n">
        <x:f>AVERAGEIFS('Исходные замеры'!$I$4:$I$9,'Исходные замеры'!$A$4:$A$9,A5)</x:f>
        <x:v>0.7286250000000001</x:v>
      </x:c>
      <x:c r="F5" s="18" t="n">
        <x:f>AVERAGEIFS('Исходные замеры'!$J$4:$J$9,'Исходные замеры'!$A$4:$A$9,A5)</x:f>
        <x:v>4.640000000000001</x:v>
      </x:c>
      <x:c r="G5" s="19" t="n">
        <x:f>C5/$C$4-1</x:f>
        <x:v>-0.4092054872820806</x:v>
      </x:c>
      <x:c r="H5" s="19" t="n">
        <x:f>D5/$D$4-1</x:f>
        <x:v>-0.2360481167422599</x:v>
      </x:c>
      <x:c r="I5" s="19" t="n">
        <x:f>E5/$E$4-1</x:f>
        <x:v>-0.023389069463525702</x:v>
      </x:c>
      <x:c r="J5" s="21" t="str">
        <x:v>TCP: межмашинный обмен через 25GbE; без RDMA-ускорения.</x:v>
      </x:c>
    </x:row>
    <x:row r="6" ht="30" customHeight="1">
      <x:c r="A6" s="16" t="str">
        <x:v>RDMA</x:v>
      </x:c>
      <x:c r="B6" s="16" t="str">
        <x:v>2 компьютера через 25 Гбит/с</x:v>
      </x:c>
      <x:c r="C6" s="18" t="n">
        <x:f>AVERAGEIFS('Исходные замеры'!$F$4:$F$9,'Исходные замеры'!$A$4:$A$9,A6)</x:f>
        <x:v>1471.26</x:v>
      </x:c>
      <x:c r="D6" s="18" t="n">
        <x:f>AVERAGEIFS('Исходные замеры'!$H$4:$H$9,'Исходные замеры'!$A$4:$A$9,A6)</x:f>
        <x:v>63.69500000000001</x:v>
      </x:c>
      <x:c r="E6" s="19" t="n">
        <x:f>AVERAGEIFS('Исходные замеры'!$I$4:$I$9,'Исходные замеры'!$A$4:$A$9,A6)</x:f>
        <x:v>0.6935450000000001</x:v>
      </x:c>
      <x:c r="F6" s="18" t="n">
        <x:f>AVERAGEIFS('Исходные замеры'!$J$4:$J$9,'Исходные замеры'!$A$4:$A$9,A6)</x:f>
        <x:v>4.465</x:v>
      </x:c>
      <x:c r="G6" s="19" t="n">
        <x:f>C6/$C$4-1</x:f>
        <x:v>-0.15903972563589597</x:v>
      </x:c>
      <x:c r="H6" s="19" t="n">
        <x:f>D6/$D$4-1</x:f>
        <x:v>-0.1626240715177807</x:v>
      </x:c>
      <x:c r="I6" s="19" t="n">
        <x:f>E6/$E$4-1</x:f>
        <x:v>-0.070408470998224</x:v>
      </x:c>
      <x:c r="J6" s="21" t="str">
        <x:v>RDMA: межмашинный обмен через 25GbE с RDMA; быстрее TCP по входу.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7" t="str">
        <x:v>Режим</x:v>
      </x:c>
      <x:c r="B8" s="17" t="str">
        <x:v>Вход, ток/с</x:v>
      </x:c>
      <x:c r="C8" s="16"/>
      <x:c r="D8" s="17" t="str">
        <x:v>Режим</x:v>
      </x:c>
      <x:c r="E8" s="17" t="str">
        <x:v>Генерация, ток/с</x:v>
      </x:c>
      <x:c r="F8" s="16"/>
      <x:c r="G8" s="16"/>
      <x:c r="H8" s="16"/>
      <x:c r="I8" s="16"/>
      <x:c r="J8" s="16"/>
    </x:row>
    <x:row r="9">
      <x:c r="A9" s="16" t="str">
        <x:f>A4</x:f>
        <x:v>PCIe</x:v>
      </x:c>
      <x:c r="B9" s="16" t="n">
        <x:f>C4</x:f>
        <x:v>1749.5</x:v>
      </x:c>
      <x:c r="C9" s="16"/>
      <x:c r="D9" s="16" t="str">
        <x:f>A4</x:f>
        <x:v>PCIe</x:v>
      </x:c>
      <x:c r="E9" s="16" t="n">
        <x:f>D4</x:f>
        <x:v>76.065</x:v>
      </x:c>
      <x:c r="F9" s="16"/>
      <x:c r="G9" s="16"/>
      <x:c r="H9" s="16"/>
      <x:c r="I9" s="16"/>
      <x:c r="J9" s="16"/>
    </x:row>
    <x:row r="10">
      <x:c r="A10" s="16" t="str">
        <x:f>A5</x:f>
        <x:v>TCP</x:v>
      </x:c>
      <x:c r="B10" s="16" t="n">
        <x:f>C5</x:f>
        <x:v>1033.595</x:v>
      </x:c>
      <x:c r="C10" s="16"/>
      <x:c r="D10" s="16" t="str">
        <x:f>A5</x:f>
        <x:v>TCP</x:v>
      </x:c>
      <x:c r="E10" s="16" t="n">
        <x:f>D5</x:f>
        <x:v>58.11</x:v>
      </x:c>
      <x:c r="F10" s="16"/>
      <x:c r="G10" s="16"/>
      <x:c r="H10" s="16"/>
      <x:c r="I10" s="16"/>
      <x:c r="J10" s="16"/>
    </x:row>
    <x:row r="11">
      <x:c r="A11" s="16" t="str">
        <x:f>A6</x:f>
        <x:v>RDMA</x:v>
      </x:c>
      <x:c r="B11" s="16" t="n">
        <x:f>C6</x:f>
        <x:v>1471.26</x:v>
      </x:c>
      <x:c r="C11" s="16"/>
      <x:c r="D11" s="16" t="str">
        <x:f>A6</x:f>
        <x:v>RDMA</x:v>
      </x:c>
      <x:c r="E11" s="16" t="n">
        <x:f>D6</x:f>
        <x:v>63.69500000000001</x:v>
      </x:c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</x:row>
    <x:row r="47">
      <x:c r="A47" s="20" t="str">
        <x:v>Пояснение: PCIe — базовый локальный вариант на двух картах в одном компьютере. TCP и RDMA используют тот же 25GbE путь между двумя компьютерами. RDMA уменьшает сетевые накладные расходы относительно TCP: в этом тесте обработка входа выше примерно на 42%, а генерация — примерно на 10% относительно TCP. При этом PCIe остаётся самым быстрым вариантом.</x:v>
      </x:c>
      <x:c r="B47" s="20"/>
      <x:c r="C47" s="20"/>
      <x:c r="D47" s="20"/>
      <x:c r="E47" s="20"/>
      <x:c r="F47" s="20"/>
      <x:c r="G47" s="20"/>
      <x:c r="H47" s="20"/>
      <x:c r="I47" s="20"/>
      <x:c r="J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</x:row>
  </x:sheetData>
  <x:mergeCells>
    <x:mergeCell ref="A1:J1"/>
    <x:mergeCell ref="A47:J50"/>
  </x:mergeCells>
  <x:pageMargins left="0.7" right="0.7" top="0.75" bottom="0.75" header="0.3" footer="0.3"/>
  <x:drawing xmlns:r="http://schemas.openxmlformats.org/officeDocument/2006/relationships" r:id="Rdee984c92d3b4029"/>
  <x:tableParts count="1">
    <x:tablePart xmlns:r="http://schemas.openxmlformats.org/officeDocument/2006/relationships" r:id="Ra82d1bbf2c924ade"/>
  </x:tableParts>
</x:worksheet>
</file>